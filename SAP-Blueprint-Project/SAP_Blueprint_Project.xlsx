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15"/>
  <workbookPr defaultThemeVersion="166925"/>
  <xr:revisionPtr revIDLastSave="0" documentId="8_{61D14D05-CCBC-404E-824E-8D01EB453205}" xr6:coauthVersionLast="47" xr6:coauthVersionMax="47" xr10:uidLastSave="{00000000-0000-0000-0000-000000000000}"/>
  <bookViews>
    <workbookView xWindow="240" yWindow="105" windowWidth="14805" windowHeight="8010" firstSheet="3" activeTab="3" xr2:uid="{00000000-000D-0000-FFFF-FFFF00000000}"/>
  </bookViews>
  <sheets>
    <sheet name="Company Structure" sheetId="1" r:id="rId1"/>
    <sheet name="Purchase_Process_MM" sheetId="2" r:id="rId2"/>
    <sheet name="Inventory" sheetId="3" r:id="rId3"/>
    <sheet name="Sales_SD" sheetId="4" r:id="rId4"/>
    <sheet name="Finance_FI" sheetId="5" r:id="rId5"/>
    <sheet name="Dashboard" sheetId="7" r:id="rId6"/>
    <sheet name="Process_Flow" sheetId="8" r:id="rId7"/>
  </sheets>
  <externalReferences>
    <externalReference r:id="rId8"/>
    <externalReference r:id="rId9"/>
    <externalReference r:id="rId10"/>
  </externalReferences>
  <definedNames>
    <definedName name="_xlnm._FilterDatabase" localSheetId="3" hidden="1">Sales_SD!$E$3:$E$7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7" l="1"/>
  <c r="B3" i="7"/>
  <c r="A3" i="7"/>
  <c r="G4" i="2"/>
  <c r="G5" i="2"/>
  <c r="G6" i="2"/>
  <c r="G7" i="2"/>
  <c r="G3" i="2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<sst xmlns="http://schemas.openxmlformats.org/spreadsheetml/2006/main" count="126" uniqueCount="92">
  <si>
    <t xml:space="preserve">Company Code </t>
  </si>
  <si>
    <t xml:space="preserve">Plant </t>
  </si>
  <si>
    <t>Storage Location</t>
  </si>
  <si>
    <t>Sales Org</t>
  </si>
  <si>
    <t>Purchase Org</t>
  </si>
  <si>
    <t>Shbnm1</t>
  </si>
  <si>
    <t>PL01</t>
  </si>
  <si>
    <t>SL01</t>
  </si>
  <si>
    <t>SO01</t>
  </si>
  <si>
    <t>PO01</t>
  </si>
  <si>
    <t>PR NO.</t>
  </si>
  <si>
    <t>Material</t>
  </si>
  <si>
    <t>Quantity</t>
  </si>
  <si>
    <t>Vendor</t>
  </si>
  <si>
    <t>PO NO.</t>
  </si>
  <si>
    <t>Status</t>
  </si>
  <si>
    <t>Inventory Updated</t>
  </si>
  <si>
    <t>PR001</t>
  </si>
  <si>
    <t>Laptop</t>
  </si>
  <si>
    <t>SP Ltd</t>
  </si>
  <si>
    <t>PO001</t>
  </si>
  <si>
    <t>Delivered</t>
  </si>
  <si>
    <t>PR002</t>
  </si>
  <si>
    <t>PC</t>
  </si>
  <si>
    <t>ABC Suppliers</t>
  </si>
  <si>
    <t>PO002</t>
  </si>
  <si>
    <t>Ordered</t>
  </si>
  <si>
    <t>PR003</t>
  </si>
  <si>
    <t>CPU</t>
  </si>
  <si>
    <t>ABCSuppliers</t>
  </si>
  <si>
    <t>PO003</t>
  </si>
  <si>
    <t>PR004</t>
  </si>
  <si>
    <t>Mouse</t>
  </si>
  <si>
    <t>QC Distributors</t>
  </si>
  <si>
    <t>PO004</t>
  </si>
  <si>
    <t>Invoiced</t>
  </si>
  <si>
    <t>PR005</t>
  </si>
  <si>
    <t>Keyboard</t>
  </si>
  <si>
    <t>KP Agency</t>
  </si>
  <si>
    <t>PO005</t>
  </si>
  <si>
    <t xml:space="preserve">Material </t>
  </si>
  <si>
    <t>Qnt Available</t>
  </si>
  <si>
    <t>Plant</t>
  </si>
  <si>
    <t>Old Qty</t>
  </si>
  <si>
    <t>New Qty</t>
  </si>
  <si>
    <t>PLO1</t>
  </si>
  <si>
    <t>Sale Order</t>
  </si>
  <si>
    <t>Customer</t>
  </si>
  <si>
    <t>Product</t>
  </si>
  <si>
    <t>Delivery Status</t>
  </si>
  <si>
    <t>Billing</t>
  </si>
  <si>
    <t>SO001</t>
  </si>
  <si>
    <t>Srija Enterprises</t>
  </si>
  <si>
    <t>Paid</t>
  </si>
  <si>
    <t>SO002</t>
  </si>
  <si>
    <t>SKG Traders</t>
  </si>
  <si>
    <t>Pending</t>
  </si>
  <si>
    <t>Not Paid</t>
  </si>
  <si>
    <t>SO003</t>
  </si>
  <si>
    <t>SO004</t>
  </si>
  <si>
    <t>Gupta Electronics</t>
  </si>
  <si>
    <t>SO005</t>
  </si>
  <si>
    <t>Gada Electronics</t>
  </si>
  <si>
    <t>Transaction ID</t>
  </si>
  <si>
    <t>Debit</t>
  </si>
  <si>
    <t>Credit</t>
  </si>
  <si>
    <t>Amount</t>
  </si>
  <si>
    <t>Description</t>
  </si>
  <si>
    <t>T001</t>
  </si>
  <si>
    <t>Inventory</t>
  </si>
  <si>
    <t xml:space="preserve">Purchase of Laptops </t>
  </si>
  <si>
    <t>T002</t>
  </si>
  <si>
    <t>Revenue</t>
  </si>
  <si>
    <t>Sale of Laptops</t>
  </si>
  <si>
    <t>T003</t>
  </si>
  <si>
    <t xml:space="preserve">Inventory </t>
  </si>
  <si>
    <t>Purchase of PCs</t>
  </si>
  <si>
    <t>T004</t>
  </si>
  <si>
    <t>Purchase of CPUs</t>
  </si>
  <si>
    <t>T005</t>
  </si>
  <si>
    <t>Sale of Mouse</t>
  </si>
  <si>
    <t>T006</t>
  </si>
  <si>
    <t>Sale of Keyboard</t>
  </si>
  <si>
    <t>Total Purchase Orders</t>
  </si>
  <si>
    <t>Total Sales Orders</t>
  </si>
  <si>
    <t>Total Inventory</t>
  </si>
  <si>
    <t>Procurement (MM):</t>
  </si>
  <si>
    <t>PR → PO → Goods Receipt → Invoice</t>
  </si>
  <si>
    <t>Sales (SD):</t>
  </si>
  <si>
    <t>Order → Delivery → Billing</t>
  </si>
  <si>
    <t>Finance (FI):</t>
  </si>
  <si>
    <t>Debit → Credit entries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</si>
</sst>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12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3">
    <dxf>
      <font>
        <color rgb="FF0070C0"/>
      </font>
      <fill>
        <patternFill patternType="solid"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haredStrings" Target="sharedStrings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6" Type="http://schemas.microsoft.com/office/2017/06/relationships/rdRichValueStructure" Target="richData/rdrichvaluestructure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17/06/relationships/rdRichValue" Target="richData/rdrichvalue.xml"/><Relationship Id="rId10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urchase%20Process(MM)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Sale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Inventory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urchase Process(MM)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les"/>
    </sheetNames>
    <sheetDataSet>
      <sheetData sheetId="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entory"/>
    </sheetNames>
    <sheetDataSet>
      <sheetData sheetId="0"/>
    </sheetDataSet>
  </externalBook>
</externalLink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10</v>
    <v>2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3"/>
  <sheetViews>
    <sheetView workbookViewId="0">
      <selection activeCell="E8" sqref="E8"/>
    </sheetView>
  </sheetViews>
  <sheetFormatPr defaultRowHeight="15"/>
  <cols>
    <col min="1" max="1" width="18.140625" bestFit="1" customWidth="1"/>
    <col min="3" max="3" width="16.7109375" bestFit="1" customWidth="1"/>
    <col min="4" max="4" width="9.7109375" bestFit="1" customWidth="1"/>
    <col min="5" max="5" width="13.42578125" bestFit="1" customWidth="1"/>
  </cols>
  <sheetData>
    <row r="2" spans="1:5" ht="15.7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</row>
    <row r="3" spans="1:5">
      <c r="A3" t="s">
        <v>5</v>
      </c>
      <c r="B3" t="s">
        <v>6</v>
      </c>
      <c r="C3" t="s">
        <v>7</v>
      </c>
      <c r="D3" t="s">
        <v>8</v>
      </c>
      <c r="E3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94E96-5DDB-40FF-920D-87C2BCCFDDD7}">
  <dimension ref="A2:G7"/>
  <sheetViews>
    <sheetView workbookViewId="0">
      <selection activeCell="G3" sqref="G3"/>
    </sheetView>
  </sheetViews>
  <sheetFormatPr defaultRowHeight="15"/>
  <cols>
    <col min="1" max="1" width="20.85546875" bestFit="1" customWidth="1"/>
    <col min="3" max="3" width="9.28515625" bestFit="1" customWidth="1"/>
    <col min="4" max="4" width="14.28515625" bestFit="1" customWidth="1"/>
    <col min="6" max="6" width="17.28515625" bestFit="1" customWidth="1"/>
    <col min="7" max="7" width="18.85546875" bestFit="1" customWidth="1"/>
  </cols>
  <sheetData>
    <row r="2" spans="1:7" ht="15.75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</row>
    <row r="3" spans="1:7">
      <c r="A3" t="s">
        <v>17</v>
      </c>
      <c r="B3" t="s">
        <v>18</v>
      </c>
      <c r="C3">
        <v>10</v>
      </c>
      <c r="D3" t="s">
        <v>19</v>
      </c>
      <c r="E3" t="s">
        <v>20</v>
      </c>
      <c r="F3" t="s">
        <v>21</v>
      </c>
      <c r="G3" t="str">
        <f>IF(F3="Delivered", "Yes","No")</f>
        <v>Yes</v>
      </c>
    </row>
    <row r="4" spans="1:7">
      <c r="A4" t="s">
        <v>22</v>
      </c>
      <c r="B4" t="s">
        <v>23</v>
      </c>
      <c r="C4">
        <v>20</v>
      </c>
      <c r="D4" t="s">
        <v>24</v>
      </c>
      <c r="E4" t="s">
        <v>25</v>
      </c>
      <c r="F4" t="s">
        <v>26</v>
      </c>
      <c r="G4" t="str">
        <f t="shared" ref="G4:G7" si="0">IF(F4="Delivered", "Yes","No")</f>
        <v>No</v>
      </c>
    </row>
    <row r="5" spans="1:7">
      <c r="A5" t="s">
        <v>27</v>
      </c>
      <c r="B5" t="s">
        <v>28</v>
      </c>
      <c r="C5">
        <v>20</v>
      </c>
      <c r="D5" t="s">
        <v>29</v>
      </c>
      <c r="E5" t="s">
        <v>30</v>
      </c>
      <c r="F5" t="s">
        <v>21</v>
      </c>
      <c r="G5" t="str">
        <f t="shared" si="0"/>
        <v>Yes</v>
      </c>
    </row>
    <row r="6" spans="1:7">
      <c r="A6" t="s">
        <v>31</v>
      </c>
      <c r="B6" t="s">
        <v>32</v>
      </c>
      <c r="C6">
        <v>50</v>
      </c>
      <c r="D6" t="s">
        <v>33</v>
      </c>
      <c r="E6" t="s">
        <v>34</v>
      </c>
      <c r="F6" t="s">
        <v>35</v>
      </c>
      <c r="G6" t="str">
        <f t="shared" si="0"/>
        <v>No</v>
      </c>
    </row>
    <row r="7" spans="1:7">
      <c r="A7" t="s">
        <v>36</v>
      </c>
      <c r="B7" t="s">
        <v>37</v>
      </c>
      <c r="C7">
        <v>30</v>
      </c>
      <c r="D7" t="s">
        <v>38</v>
      </c>
      <c r="E7" t="s">
        <v>39</v>
      </c>
      <c r="F7" t="s">
        <v>21</v>
      </c>
      <c r="G7" t="str">
        <f t="shared" si="0"/>
        <v>Yes</v>
      </c>
    </row>
  </sheetData>
  <conditionalFormatting sqref="F3:F7">
    <cfRule type="containsText" dxfId="2" priority="3" operator="containsText" text="Delivered">
      <formula>NOT(ISERROR(SEARCH("Delivered",F3)))</formula>
    </cfRule>
  </conditionalFormatting>
  <conditionalFormatting sqref="F3:F7">
    <cfRule type="containsText" dxfId="1" priority="2" operator="containsText" text="Ordered">
      <formula>NOT(ISERROR(SEARCH("Ordered",F3)))</formula>
    </cfRule>
  </conditionalFormatting>
  <conditionalFormatting sqref="F3:F7">
    <cfRule type="containsText" dxfId="0" priority="1" operator="containsText" text="Invoiced">
      <formula>NOT(ISERROR(SEARCH("Invoiced",F3)))</formula>
    </cfRule>
  </conditionalFormatting>
  <dataValidations count="1">
    <dataValidation type="list" allowBlank="1" showInputMessage="1" showErrorMessage="1" sqref="F3:F7" xr:uid="{4BCEF5D3-0422-419A-A363-0015426AD7F8}">
      <formula1>"Ordered, Delivered,Invoiced"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D9A04-2B75-47B2-9FBF-D205992922C0}">
  <dimension ref="A2:E7"/>
  <sheetViews>
    <sheetView workbookViewId="0">
      <selection activeCell="E3" sqref="E3"/>
    </sheetView>
  </sheetViews>
  <sheetFormatPr defaultRowHeight="15"/>
  <cols>
    <col min="1" max="1" width="9.5703125" bestFit="1" customWidth="1"/>
    <col min="2" max="2" width="13.7109375" bestFit="1" customWidth="1"/>
  </cols>
  <sheetData>
    <row r="2" spans="1:5" ht="15.75">
      <c r="A2" s="2" t="s">
        <v>40</v>
      </c>
      <c r="B2" s="2" t="s">
        <v>41</v>
      </c>
      <c r="C2" s="2" t="s">
        <v>42</v>
      </c>
      <c r="D2" s="2" t="s">
        <v>43</v>
      </c>
      <c r="E2" s="2" t="s">
        <v>44</v>
      </c>
    </row>
    <row r="3" spans="1:5">
      <c r="A3" t="s">
        <v>18</v>
      </c>
      <c r="B3">
        <v>10</v>
      </c>
      <c r="C3" t="s">
        <v>6</v>
      </c>
      <c r="D3">
        <v>0</v>
      </c>
      <c r="E3">
        <v>10</v>
      </c>
    </row>
    <row r="4" spans="1:5">
      <c r="A4" t="s">
        <v>23</v>
      </c>
      <c r="B4">
        <v>20</v>
      </c>
      <c r="C4" t="s">
        <v>6</v>
      </c>
      <c r="D4">
        <v>0</v>
      </c>
      <c r="E4">
        <v>20</v>
      </c>
    </row>
    <row r="5" spans="1:5">
      <c r="A5" t="s">
        <v>28</v>
      </c>
      <c r="B5">
        <v>20</v>
      </c>
      <c r="C5" t="s">
        <v>45</v>
      </c>
      <c r="D5">
        <v>0</v>
      </c>
      <c r="E5">
        <v>0</v>
      </c>
    </row>
    <row r="6" spans="1:5">
      <c r="A6" t="s">
        <v>32</v>
      </c>
      <c r="B6">
        <v>50</v>
      </c>
      <c r="C6" t="s">
        <v>6</v>
      </c>
      <c r="D6">
        <v>0</v>
      </c>
      <c r="E6">
        <v>50</v>
      </c>
    </row>
    <row r="7" spans="1:5">
      <c r="A7" t="s">
        <v>37</v>
      </c>
      <c r="B7">
        <v>30</v>
      </c>
      <c r="C7" t="s">
        <v>6</v>
      </c>
      <c r="D7">
        <v>0</v>
      </c>
      <c r="E7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71627-7857-4364-BB0F-29C99CCACDAC}">
  <dimension ref="A2:F7"/>
  <sheetViews>
    <sheetView tabSelected="1" workbookViewId="0">
      <selection activeCell="E5" sqref="E5"/>
    </sheetView>
  </sheetViews>
  <sheetFormatPr defaultRowHeight="15"/>
  <cols>
    <col min="1" max="1" width="16" bestFit="1" customWidth="1"/>
    <col min="2" max="2" width="16.140625" bestFit="1" customWidth="1"/>
    <col min="4" max="4" width="9.28515625" bestFit="1" customWidth="1"/>
    <col min="5" max="5" width="14.7109375" bestFit="1" customWidth="1"/>
    <col min="6" max="6" width="9.42578125" bestFit="1" customWidth="1"/>
  </cols>
  <sheetData>
    <row r="2" spans="1:6" ht="15.75">
      <c r="A2" s="2" t="s">
        <v>46</v>
      </c>
      <c r="B2" s="2" t="s">
        <v>47</v>
      </c>
      <c r="C2" s="2" t="s">
        <v>48</v>
      </c>
      <c r="D2" s="2" t="s">
        <v>12</v>
      </c>
      <c r="E2" s="2" t="s">
        <v>49</v>
      </c>
      <c r="F2" s="2" t="s">
        <v>50</v>
      </c>
    </row>
    <row r="3" spans="1:6">
      <c r="A3" t="s">
        <v>51</v>
      </c>
      <c r="B3" t="s">
        <v>52</v>
      </c>
      <c r="C3" t="s">
        <v>18</v>
      </c>
      <c r="D3">
        <v>2</v>
      </c>
      <c r="E3" t="s">
        <v>21</v>
      </c>
      <c r="F3" t="s">
        <v>53</v>
      </c>
    </row>
    <row r="4" spans="1:6">
      <c r="A4" t="s">
        <v>54</v>
      </c>
      <c r="B4" t="s">
        <v>55</v>
      </c>
      <c r="C4" t="s">
        <v>23</v>
      </c>
      <c r="D4">
        <v>10</v>
      </c>
      <c r="E4" t="s">
        <v>56</v>
      </c>
      <c r="F4" t="s">
        <v>57</v>
      </c>
    </row>
    <row r="5" spans="1:6">
      <c r="A5" t="s">
        <v>58</v>
      </c>
      <c r="B5" t="s">
        <v>55</v>
      </c>
      <c r="C5" t="s">
        <v>28</v>
      </c>
      <c r="D5">
        <v>10</v>
      </c>
      <c r="E5" t="s">
        <v>56</v>
      </c>
      <c r="F5" t="s">
        <v>57</v>
      </c>
    </row>
    <row r="6" spans="1:6">
      <c r="A6" t="s">
        <v>59</v>
      </c>
      <c r="B6" t="s">
        <v>60</v>
      </c>
      <c r="C6" t="s">
        <v>32</v>
      </c>
      <c r="D6">
        <v>5</v>
      </c>
      <c r="E6" t="s">
        <v>21</v>
      </c>
      <c r="F6" t="s">
        <v>53</v>
      </c>
    </row>
    <row r="7" spans="1:6">
      <c r="A7" t="s">
        <v>61</v>
      </c>
      <c r="B7" t="s">
        <v>62</v>
      </c>
      <c r="C7" t="s">
        <v>37</v>
      </c>
      <c r="D7">
        <v>7</v>
      </c>
      <c r="E7" t="s">
        <v>21</v>
      </c>
      <c r="F7" t="s">
        <v>53</v>
      </c>
    </row>
  </sheetData>
  <autoFilter ref="E3:E7" xr:uid="{F1571627-7857-4364-BB0F-29C99CCACDAC}"/>
  <dataValidations count="2">
    <dataValidation type="list" allowBlank="1" showInputMessage="1" showErrorMessage="1" sqref="E3:E7" xr:uid="{46CD361A-FF1A-4714-BD50-1EC1EDA2DF12}">
      <formula1>"Pending,Delivered"</formula1>
    </dataValidation>
    <dataValidation type="list" allowBlank="1" showInputMessage="1" showErrorMessage="1" sqref="F3:F7" xr:uid="{7565E15E-E5C0-45D4-8B8A-2832E4011A25}">
      <formula1>"Paid, Not Paid"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330C5-92AB-4C69-BF46-2A74DFCE7654}">
  <dimension ref="A2:E8"/>
  <sheetViews>
    <sheetView workbookViewId="0">
      <selection activeCell="E2" sqref="E2"/>
    </sheetView>
  </sheetViews>
  <sheetFormatPr defaultRowHeight="15"/>
  <cols>
    <col min="1" max="1" width="14.5703125" bestFit="1" customWidth="1"/>
    <col min="2" max="2" width="9.7109375" bestFit="1" customWidth="1"/>
    <col min="5" max="5" width="18.85546875" bestFit="1" customWidth="1"/>
  </cols>
  <sheetData>
    <row r="2" spans="1:5" ht="15.75">
      <c r="A2" s="2" t="s">
        <v>63</v>
      </c>
      <c r="B2" s="2" t="s">
        <v>64</v>
      </c>
      <c r="C2" s="2" t="s">
        <v>65</v>
      </c>
      <c r="D2" s="2" t="s">
        <v>66</v>
      </c>
      <c r="E2" s="2" t="s">
        <v>67</v>
      </c>
    </row>
    <row r="3" spans="1:5">
      <c r="A3" t="s">
        <v>68</v>
      </c>
      <c r="B3" t="s">
        <v>69</v>
      </c>
      <c r="C3" t="s">
        <v>13</v>
      </c>
      <c r="D3">
        <v>500000</v>
      </c>
      <c r="E3" t="s">
        <v>70</v>
      </c>
    </row>
    <row r="4" spans="1:5">
      <c r="A4" t="s">
        <v>71</v>
      </c>
      <c r="B4" t="s">
        <v>47</v>
      </c>
      <c r="C4" t="s">
        <v>72</v>
      </c>
      <c r="D4">
        <v>100000</v>
      </c>
      <c r="E4" t="s">
        <v>73</v>
      </c>
    </row>
    <row r="5" spans="1:5">
      <c r="A5" t="s">
        <v>74</v>
      </c>
      <c r="B5" t="s">
        <v>75</v>
      </c>
      <c r="C5" t="s">
        <v>13</v>
      </c>
      <c r="D5">
        <v>200000</v>
      </c>
      <c r="E5" t="s">
        <v>76</v>
      </c>
    </row>
    <row r="6" spans="1:5">
      <c r="A6" t="s">
        <v>77</v>
      </c>
      <c r="B6" t="s">
        <v>75</v>
      </c>
      <c r="C6" t="s">
        <v>13</v>
      </c>
      <c r="D6">
        <v>150000</v>
      </c>
      <c r="E6" t="s">
        <v>78</v>
      </c>
    </row>
    <row r="7" spans="1:5">
      <c r="A7" t="s">
        <v>79</v>
      </c>
      <c r="B7" t="s">
        <v>47</v>
      </c>
      <c r="C7" t="s">
        <v>72</v>
      </c>
      <c r="D7">
        <v>50000</v>
      </c>
      <c r="E7" t="s">
        <v>80</v>
      </c>
    </row>
    <row r="8" spans="1:5">
      <c r="A8" t="s">
        <v>81</v>
      </c>
      <c r="B8" t="s">
        <v>47</v>
      </c>
      <c r="C8" t="s">
        <v>72</v>
      </c>
      <c r="D8">
        <v>170000</v>
      </c>
      <c r="E8" t="s">
        <v>82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FA556-4A8C-4C7A-B4E8-EAA56F89D6E9}">
  <dimension ref="A2:C3"/>
  <sheetViews>
    <sheetView workbookViewId="0">
      <selection activeCell="C2" sqref="C2"/>
    </sheetView>
  </sheetViews>
  <sheetFormatPr defaultRowHeight="15"/>
  <cols>
    <col min="1" max="1" width="21.85546875" bestFit="1" customWidth="1"/>
    <col min="2" max="2" width="21.140625" bestFit="1" customWidth="1"/>
    <col min="3" max="3" width="18.28515625" bestFit="1" customWidth="1"/>
  </cols>
  <sheetData>
    <row r="2" spans="1:3" ht="15.75">
      <c r="A2" s="2" t="s">
        <v>83</v>
      </c>
      <c r="B2" s="2" t="s">
        <v>84</v>
      </c>
      <c r="C2" s="2" t="s">
        <v>85</v>
      </c>
    </row>
    <row r="3" spans="1:3">
      <c r="A3">
        <f>COUNTA('[1]Purchase Process(MM)'!A3:A7)</f>
        <v>0</v>
      </c>
      <c r="B3">
        <f>COUNTA([2]Sales!A2:A10)</f>
        <v>0</v>
      </c>
      <c r="C3" t="e" vm="1">
        <f>SUM([3]Inventory!B2:B10)</f>
        <v>#VALUE!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3024C-3F6A-4B0A-829B-F085409B7301}">
  <dimension ref="A1:A8"/>
  <sheetViews>
    <sheetView workbookViewId="0">
      <selection activeCell="A8" sqref="A8"/>
    </sheetView>
  </sheetViews>
  <sheetFormatPr defaultRowHeight="15"/>
  <cols>
    <col min="1" max="1" width="33.140625" bestFit="1" customWidth="1"/>
  </cols>
  <sheetData>
    <row r="1" spans="1:1" ht="18">
      <c r="A1" s="1" t="s">
        <v>86</v>
      </c>
    </row>
    <row r="2" spans="1:1">
      <c r="A2" t="s">
        <v>87</v>
      </c>
    </row>
    <row r="4" spans="1:1" ht="18">
      <c r="A4" s="1" t="s">
        <v>88</v>
      </c>
    </row>
    <row r="5" spans="1:1">
      <c r="A5" t="s">
        <v>89</v>
      </c>
    </row>
    <row r="7" spans="1:1" ht="18">
      <c r="A7" s="1" t="s">
        <v>90</v>
      </c>
    </row>
    <row r="8" spans="1:1">
      <c r="A8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2026-04-20T15:06:58Z</dcterms:created>
  <dcterms:modified xsi:type="dcterms:W3CDTF">2026-04-20T17:46:35Z</dcterms:modified>
  <cp:category/>
  <cp:contentStatus/>
</cp:coreProperties>
</file>